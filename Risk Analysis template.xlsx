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than\OneDrive\Documents\CSI\Risk graphs - Feb\SURF\"/>
    </mc:Choice>
  </mc:AlternateContent>
  <xr:revisionPtr revIDLastSave="0" documentId="13_ncr:1_{070604FF-7E4E-487F-B0C9-68CBE9D23D57}" xr6:coauthVersionLast="47" xr6:coauthVersionMax="47" xr10:uidLastSave="{00000000-0000-0000-0000-000000000000}"/>
  <bookViews>
    <workbookView xWindow="-108" yWindow="-108" windowWidth="23256" windowHeight="12456" tabRatio="866" xr2:uid="{D34B8783-7148-4E89-A83B-673012B0C4DE}"/>
  </bookViews>
  <sheets>
    <sheet name="RESULTS" sheetId="41" r:id="rId1"/>
  </sheets>
  <externalReferences>
    <externalReference r:id="rId2"/>
  </externalReferences>
  <definedNames>
    <definedName name="Applicability">#REF!</definedName>
    <definedName name="CMM">#REF!</definedName>
    <definedName name="ControlTotal">'[1]Annex A controls'!$D$100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1" l="1"/>
  <c r="I3" i="41"/>
  <c r="J3" i="41"/>
  <c r="K3" i="41"/>
  <c r="L3" i="41"/>
  <c r="M3" i="41"/>
  <c r="H4" i="41"/>
  <c r="I4" i="41"/>
  <c r="J4" i="41"/>
  <c r="K4" i="41"/>
  <c r="L4" i="41"/>
  <c r="M4" i="41"/>
  <c r="H5" i="41"/>
  <c r="I5" i="41"/>
  <c r="J5" i="41"/>
  <c r="K5" i="41"/>
  <c r="L5" i="41"/>
  <c r="M5" i="41"/>
  <c r="H6" i="41"/>
  <c r="I6" i="41"/>
  <c r="J6" i="41"/>
  <c r="K6" i="41"/>
  <c r="L6" i="41"/>
  <c r="M6" i="41"/>
  <c r="H7" i="41"/>
  <c r="I7" i="41"/>
  <c r="J7" i="41"/>
  <c r="K7" i="41"/>
  <c r="L7" i="41"/>
  <c r="M7" i="41"/>
  <c r="H8" i="41"/>
  <c r="I8" i="41"/>
  <c r="J8" i="41"/>
  <c r="K8" i="41"/>
  <c r="L8" i="41"/>
  <c r="M8" i="41"/>
  <c r="H9" i="41"/>
  <c r="I9" i="41"/>
  <c r="J9" i="41"/>
  <c r="K9" i="41"/>
  <c r="L9" i="41"/>
  <c r="M9" i="41"/>
  <c r="H10" i="41"/>
  <c r="I10" i="41"/>
  <c r="J10" i="41"/>
  <c r="K10" i="41"/>
  <c r="L10" i="41"/>
  <c r="M10" i="41"/>
  <c r="H11" i="41"/>
  <c r="I11" i="41"/>
  <c r="J11" i="41"/>
  <c r="K11" i="41"/>
  <c r="L11" i="41"/>
  <c r="M11" i="41"/>
  <c r="H12" i="41"/>
  <c r="I12" i="41"/>
  <c r="J12" i="41"/>
  <c r="K12" i="41"/>
  <c r="L12" i="41"/>
  <c r="M12" i="41"/>
  <c r="H13" i="41"/>
  <c r="I13" i="41"/>
  <c r="J13" i="41"/>
  <c r="K13" i="41"/>
  <c r="L13" i="41"/>
  <c r="M13" i="41"/>
  <c r="H14" i="41"/>
  <c r="I14" i="41"/>
  <c r="J14" i="41"/>
  <c r="K14" i="41"/>
  <c r="L14" i="41"/>
  <c r="M14" i="41"/>
  <c r="H15" i="41"/>
  <c r="I15" i="41"/>
  <c r="J15" i="41"/>
  <c r="K15" i="41"/>
  <c r="L15" i="41"/>
  <c r="M15" i="41"/>
  <c r="H16" i="41"/>
  <c r="I16" i="41"/>
  <c r="J16" i="41"/>
  <c r="K16" i="41"/>
  <c r="L16" i="41"/>
  <c r="M16" i="41"/>
  <c r="H17" i="41"/>
  <c r="I17" i="41"/>
  <c r="J17" i="41"/>
  <c r="K17" i="41"/>
  <c r="L17" i="41"/>
  <c r="M17" i="41"/>
  <c r="H18" i="41"/>
  <c r="I18" i="41"/>
  <c r="J18" i="41"/>
  <c r="K18" i="41"/>
  <c r="L18" i="41"/>
  <c r="M18" i="41"/>
  <c r="H19" i="41"/>
  <c r="I19" i="41"/>
  <c r="J19" i="41"/>
  <c r="K19" i="41"/>
  <c r="L19" i="41"/>
  <c r="M19" i="41"/>
  <c r="H20" i="41"/>
  <c r="I20" i="41"/>
  <c r="J20" i="41"/>
  <c r="K20" i="41"/>
  <c r="L20" i="41"/>
  <c r="M20" i="41"/>
  <c r="H21" i="41"/>
  <c r="I21" i="41"/>
  <c r="J21" i="41"/>
  <c r="K21" i="41"/>
  <c r="L21" i="41"/>
  <c r="M21" i="41"/>
  <c r="H22" i="41"/>
  <c r="I22" i="41"/>
  <c r="J22" i="41"/>
  <c r="K22" i="41"/>
  <c r="L22" i="41"/>
  <c r="M22" i="41"/>
  <c r="H23" i="41"/>
  <c r="I23" i="41"/>
  <c r="J23" i="41"/>
  <c r="K23" i="41"/>
  <c r="L23" i="41"/>
  <c r="M23" i="41"/>
  <c r="H24" i="41"/>
  <c r="I24" i="41"/>
  <c r="J24" i="41"/>
  <c r="K24" i="41"/>
  <c r="L24" i="41"/>
  <c r="M24" i="41"/>
  <c r="H25" i="41"/>
  <c r="I25" i="41"/>
  <c r="J25" i="41"/>
  <c r="K25" i="41"/>
  <c r="L25" i="41"/>
  <c r="M25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3" i="41"/>
  <c r="F4" i="41"/>
  <c r="F5" i="41"/>
  <c r="F6" i="4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3" i="41"/>
</calcChain>
</file>

<file path=xl/sharedStrings.xml><?xml version="1.0" encoding="utf-8"?>
<sst xmlns="http://schemas.openxmlformats.org/spreadsheetml/2006/main" count="59" uniqueCount="37">
  <si>
    <t>C</t>
  </si>
  <si>
    <t>SUPPLIER</t>
  </si>
  <si>
    <t>RESPONSES</t>
  </si>
  <si>
    <t>Questionaire Received by Datagr8</t>
  </si>
  <si>
    <t xml:space="preserve">Supplier Criticality </t>
  </si>
  <si>
    <t xml:space="preserve">Risk Rating </t>
  </si>
  <si>
    <t>A. Context of the Organisation</t>
  </si>
  <si>
    <t>B. Governance &amp; Accountability</t>
  </si>
  <si>
    <t>C. Cybersecurity Strategy and Framework</t>
  </si>
  <si>
    <t>D. Protection and Prevention</t>
  </si>
  <si>
    <t>E. Monitoring and Detection</t>
  </si>
  <si>
    <t>F. Incident Response and Recovery</t>
  </si>
  <si>
    <t>G. Independent Reviews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</si>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</sst>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8"/>
      <color rgb="FF000000"/>
      <name val="Calibri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164" fontId="0" fillId="0" borderId="2" xfId="0" applyNumberForma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</cellXfs>
  <cellStyles count="3">
    <cellStyle name="Excel Built-in Normal" xfId="2" xr:uid="{DCFCA0B6-38DD-4705-BA45-654FF79742CA}"/>
    <cellStyle name="Normal" xfId="0" builtinId="0"/>
    <cellStyle name="Normal 2" xfId="1" xr:uid="{60729B18-F6C2-4A94-8A1E-D868A9C7569C}"/>
  </cellStyles>
  <dxfs count="8"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7EC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27780/Downloads/RealPay%20Statement%20of%20Applicability%20(1).xlsx" TargetMode="External"/><Relationship Id="rId2" Type="http://schemas.openxmlformats.org/officeDocument/2006/relationships/externalLinkPath" Target="file:///C:\Users\27780\Downloads\RealPay%20Statement%20of%20Applicability%20(1).xlsx" TargetMode="External"/><Relationship Id="rId1" Type="http://schemas.openxmlformats.org/officeDocument/2006/relationships/externalLinkPath" Target="/Users/27780/Downloads/RealPay%20Statement%20of%20Applicabilit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ocument Details"/>
      <sheetName val="Mandatory ISMS requirements"/>
      <sheetName val="Annex A controls"/>
      <sheetName val="Metric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B8BE-02B7-4EBC-8049-389BA3A0F895}">
  <dimension ref="A1:M25"/>
  <sheetViews>
    <sheetView tabSelected="1" workbookViewId="0">
      <selection activeCell="E8" sqref="E8"/>
    </sheetView>
  </sheetViews>
  <sheetFormatPr defaultColWidth="8.77734375" defaultRowHeight="14.4" x14ac:dyDescent="0.3"/>
  <cols>
    <col min="1" max="1" width="7.77734375" style="3" customWidth="1"/>
    <col min="2" max="2" width="30.5546875" style="4" customWidth="1"/>
    <col min="3" max="3" width="15.77734375" style="10" customWidth="1"/>
    <col min="4" max="4" width="17.21875" style="18" customWidth="1"/>
    <col min="5" max="5" width="13.77734375" style="5" customWidth="1"/>
    <col min="6" max="13" width="30.5546875" style="5" customWidth="1"/>
    <col min="14" max="14" width="30.5546875" style="2" customWidth="1"/>
    <col min="15" max="16384" width="8.77734375" style="2"/>
  </cols>
  <sheetData>
    <row r="1" spans="1:13" ht="14.55" customHeight="1" thickBot="1" x14ac:dyDescent="0.35">
      <c r="A1" s="7"/>
      <c r="B1" s="6"/>
      <c r="C1" s="9"/>
      <c r="D1" s="16"/>
      <c r="E1" s="5" t="s">
        <v>0</v>
      </c>
    </row>
    <row r="2" spans="1:13" ht="14.55" customHeight="1" thickBot="1" x14ac:dyDescent="0.35">
      <c r="A2" s="7"/>
      <c r="B2" s="11" t="s">
        <v>1</v>
      </c>
      <c r="C2" s="12" t="s">
        <v>2</v>
      </c>
      <c r="D2" s="17" t="s">
        <v>3</v>
      </c>
      <c r="E2" s="13" t="s">
        <v>4</v>
      </c>
      <c r="F2" s="13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5" t="s">
        <v>12</v>
      </c>
    </row>
    <row r="3" spans="1:13" s="1" customFormat="1" ht="14.55" customHeight="1" x14ac:dyDescent="0.3">
      <c r="A3" s="25">
        <v>1</v>
      </c>
      <c r="B3" s="24" t="s">
        <v>13</v>
      </c>
      <c r="C3" s="20"/>
      <c r="D3" s="23" t="s">
        <v>36</v>
      </c>
      <c r="E3" s="22">
        <v>5</v>
      </c>
      <c r="F3" s="21">
        <f ca="1">RANDBETWEEN(1,5)</f>
        <v>4</v>
      </c>
      <c r="G3" s="8">
        <f ca="1">RANDBETWEEN(10,100)</f>
        <v>75</v>
      </c>
      <c r="H3" s="8">
        <f t="shared" ref="H3:M3" ca="1" si="0">RANDBETWEEN(10,100)</f>
        <v>21</v>
      </c>
      <c r="I3" s="8">
        <f t="shared" ca="1" si="0"/>
        <v>26</v>
      </c>
      <c r="J3" s="8">
        <f t="shared" ca="1" si="0"/>
        <v>76</v>
      </c>
      <c r="K3" s="8">
        <f t="shared" ca="1" si="0"/>
        <v>43</v>
      </c>
      <c r="L3" s="8">
        <f t="shared" ca="1" si="0"/>
        <v>68</v>
      </c>
      <c r="M3" s="8">
        <f t="shared" ca="1" si="0"/>
        <v>75</v>
      </c>
    </row>
    <row r="4" spans="1:13" ht="14.55" customHeight="1" x14ac:dyDescent="0.3">
      <c r="A4" s="26">
        <v>2</v>
      </c>
      <c r="B4" s="24" t="s">
        <v>14</v>
      </c>
      <c r="C4" s="19"/>
      <c r="D4" s="23" t="s">
        <v>36</v>
      </c>
      <c r="E4" s="22">
        <v>5</v>
      </c>
      <c r="F4" s="21">
        <f t="shared" ref="F4:F25" ca="1" si="1">RANDBETWEEN(1,5)</f>
        <v>2</v>
      </c>
      <c r="G4" s="8">
        <f t="shared" ref="G4:M25" ca="1" si="2">RANDBETWEEN(10,100)</f>
        <v>43</v>
      </c>
      <c r="H4" s="8">
        <f t="shared" ca="1" si="2"/>
        <v>100</v>
      </c>
      <c r="I4" s="8">
        <f t="shared" ca="1" si="2"/>
        <v>54</v>
      </c>
      <c r="J4" s="8">
        <f t="shared" ca="1" si="2"/>
        <v>77</v>
      </c>
      <c r="K4" s="8">
        <f t="shared" ca="1" si="2"/>
        <v>29</v>
      </c>
      <c r="L4" s="8">
        <f t="shared" ca="1" si="2"/>
        <v>46</v>
      </c>
      <c r="M4" s="8">
        <f t="shared" ca="1" si="2"/>
        <v>28</v>
      </c>
    </row>
    <row r="5" spans="1:13" ht="14.55" customHeight="1" x14ac:dyDescent="0.3">
      <c r="A5" s="26">
        <v>3</v>
      </c>
      <c r="B5" s="24" t="s">
        <v>15</v>
      </c>
      <c r="C5" s="19"/>
      <c r="D5" s="23" t="s">
        <v>36</v>
      </c>
      <c r="E5" s="22">
        <v>5</v>
      </c>
      <c r="F5" s="21">
        <f t="shared" ca="1" si="1"/>
        <v>3</v>
      </c>
      <c r="G5" s="8">
        <f t="shared" ca="1" si="2"/>
        <v>30</v>
      </c>
      <c r="H5" s="8">
        <f t="shared" ca="1" si="2"/>
        <v>19</v>
      </c>
      <c r="I5" s="8">
        <f t="shared" ca="1" si="2"/>
        <v>11</v>
      </c>
      <c r="J5" s="8">
        <f t="shared" ca="1" si="2"/>
        <v>33</v>
      </c>
      <c r="K5" s="8">
        <f t="shared" ca="1" si="2"/>
        <v>25</v>
      </c>
      <c r="L5" s="8">
        <f t="shared" ca="1" si="2"/>
        <v>93</v>
      </c>
      <c r="M5" s="8">
        <f t="shared" ca="1" si="2"/>
        <v>44</v>
      </c>
    </row>
    <row r="6" spans="1:13" ht="14.55" customHeight="1" x14ac:dyDescent="0.3">
      <c r="A6" s="26">
        <v>4</v>
      </c>
      <c r="B6" s="24" t="s">
        <v>16</v>
      </c>
      <c r="C6" s="19"/>
      <c r="D6" s="23" t="s">
        <v>36</v>
      </c>
      <c r="E6" s="22">
        <v>5</v>
      </c>
      <c r="F6" s="21">
        <f t="shared" ca="1" si="1"/>
        <v>3</v>
      </c>
      <c r="G6" s="8">
        <f t="shared" ca="1" si="2"/>
        <v>22</v>
      </c>
      <c r="H6" s="8">
        <f t="shared" ca="1" si="2"/>
        <v>46</v>
      </c>
      <c r="I6" s="8">
        <f t="shared" ca="1" si="2"/>
        <v>65</v>
      </c>
      <c r="J6" s="8">
        <f t="shared" ca="1" si="2"/>
        <v>82</v>
      </c>
      <c r="K6" s="8">
        <f t="shared" ca="1" si="2"/>
        <v>53</v>
      </c>
      <c r="L6" s="8">
        <f t="shared" ca="1" si="2"/>
        <v>46</v>
      </c>
      <c r="M6" s="8">
        <f t="shared" ca="1" si="2"/>
        <v>77</v>
      </c>
    </row>
    <row r="7" spans="1:13" ht="14.55" customHeight="1" x14ac:dyDescent="0.3">
      <c r="A7" s="26">
        <v>5</v>
      </c>
      <c r="B7" s="24" t="s">
        <v>17</v>
      </c>
      <c r="C7" s="19"/>
      <c r="D7" s="23" t="s">
        <v>36</v>
      </c>
      <c r="E7" s="22">
        <v>5</v>
      </c>
      <c r="F7" s="21">
        <f t="shared" ca="1" si="1"/>
        <v>3</v>
      </c>
      <c r="G7" s="8">
        <f t="shared" ca="1" si="2"/>
        <v>38</v>
      </c>
      <c r="H7" s="8">
        <f t="shared" ca="1" si="2"/>
        <v>27</v>
      </c>
      <c r="I7" s="8">
        <f t="shared" ca="1" si="2"/>
        <v>47</v>
      </c>
      <c r="J7" s="8">
        <f t="shared" ca="1" si="2"/>
        <v>68</v>
      </c>
      <c r="K7" s="8">
        <f t="shared" ca="1" si="2"/>
        <v>25</v>
      </c>
      <c r="L7" s="8">
        <f t="shared" ca="1" si="2"/>
        <v>46</v>
      </c>
      <c r="M7" s="8">
        <f t="shared" ca="1" si="2"/>
        <v>11</v>
      </c>
    </row>
    <row r="8" spans="1:13" ht="14.55" customHeight="1" x14ac:dyDescent="0.3">
      <c r="A8" s="26">
        <v>6</v>
      </c>
      <c r="B8" s="24" t="s">
        <v>18</v>
      </c>
      <c r="C8" s="19"/>
      <c r="D8" s="23" t="s">
        <v>36</v>
      </c>
      <c r="E8" s="22">
        <v>5</v>
      </c>
      <c r="F8" s="21">
        <f t="shared" ca="1" si="1"/>
        <v>3</v>
      </c>
      <c r="G8" s="8">
        <f t="shared" ca="1" si="2"/>
        <v>63</v>
      </c>
      <c r="H8" s="8">
        <f t="shared" ca="1" si="2"/>
        <v>89</v>
      </c>
      <c r="I8" s="8">
        <f t="shared" ca="1" si="2"/>
        <v>57</v>
      </c>
      <c r="J8" s="8">
        <f t="shared" ca="1" si="2"/>
        <v>79</v>
      </c>
      <c r="K8" s="8">
        <f t="shared" ca="1" si="2"/>
        <v>94</v>
      </c>
      <c r="L8" s="8">
        <f t="shared" ca="1" si="2"/>
        <v>45</v>
      </c>
      <c r="M8" s="8">
        <f t="shared" ca="1" si="2"/>
        <v>17</v>
      </c>
    </row>
    <row r="9" spans="1:13" ht="14.55" customHeight="1" x14ac:dyDescent="0.3">
      <c r="A9" s="26">
        <v>7</v>
      </c>
      <c r="B9" s="24" t="s">
        <v>19</v>
      </c>
      <c r="C9" s="19"/>
      <c r="D9" s="23" t="s">
        <v>36</v>
      </c>
      <c r="E9" s="22">
        <v>5</v>
      </c>
      <c r="F9" s="21">
        <f t="shared" ca="1" si="1"/>
        <v>2</v>
      </c>
      <c r="G9" s="8">
        <f t="shared" ca="1" si="2"/>
        <v>34</v>
      </c>
      <c r="H9" s="8">
        <f t="shared" ca="1" si="2"/>
        <v>51</v>
      </c>
      <c r="I9" s="8">
        <f t="shared" ca="1" si="2"/>
        <v>41</v>
      </c>
      <c r="J9" s="8">
        <f t="shared" ca="1" si="2"/>
        <v>97</v>
      </c>
      <c r="K9" s="8">
        <f t="shared" ca="1" si="2"/>
        <v>62</v>
      </c>
      <c r="L9" s="8">
        <f t="shared" ca="1" si="2"/>
        <v>87</v>
      </c>
      <c r="M9" s="8">
        <f t="shared" ca="1" si="2"/>
        <v>80</v>
      </c>
    </row>
    <row r="10" spans="1:13" ht="14.55" customHeight="1" x14ac:dyDescent="0.3">
      <c r="A10" s="26">
        <v>8</v>
      </c>
      <c r="B10" s="24" t="s">
        <v>20</v>
      </c>
      <c r="C10" s="19"/>
      <c r="D10" s="23" t="s">
        <v>36</v>
      </c>
      <c r="E10" s="22">
        <v>5</v>
      </c>
      <c r="F10" s="21">
        <f t="shared" ca="1" si="1"/>
        <v>4</v>
      </c>
      <c r="G10" s="8">
        <f t="shared" ca="1" si="2"/>
        <v>58</v>
      </c>
      <c r="H10" s="8">
        <f t="shared" ca="1" si="2"/>
        <v>74</v>
      </c>
      <c r="I10" s="8">
        <f t="shared" ca="1" si="2"/>
        <v>22</v>
      </c>
      <c r="J10" s="8">
        <f t="shared" ca="1" si="2"/>
        <v>68</v>
      </c>
      <c r="K10" s="8">
        <f t="shared" ca="1" si="2"/>
        <v>44</v>
      </c>
      <c r="L10" s="8">
        <f t="shared" ca="1" si="2"/>
        <v>94</v>
      </c>
      <c r="M10" s="8">
        <f t="shared" ca="1" si="2"/>
        <v>32</v>
      </c>
    </row>
    <row r="11" spans="1:13" ht="14.55" customHeight="1" x14ac:dyDescent="0.3">
      <c r="A11" s="26">
        <v>9</v>
      </c>
      <c r="B11" s="24" t="s">
        <v>21</v>
      </c>
      <c r="C11" s="19"/>
      <c r="D11" s="23" t="s">
        <v>36</v>
      </c>
      <c r="E11" s="22">
        <v>5</v>
      </c>
      <c r="F11" s="21">
        <f t="shared" ca="1" si="1"/>
        <v>4</v>
      </c>
      <c r="G11" s="8">
        <f t="shared" ca="1" si="2"/>
        <v>57</v>
      </c>
      <c r="H11" s="8">
        <f t="shared" ca="1" si="2"/>
        <v>56</v>
      </c>
      <c r="I11" s="8">
        <f t="shared" ca="1" si="2"/>
        <v>30</v>
      </c>
      <c r="J11" s="8">
        <f t="shared" ca="1" si="2"/>
        <v>99</v>
      </c>
      <c r="K11" s="8">
        <f t="shared" ca="1" si="2"/>
        <v>52</v>
      </c>
      <c r="L11" s="8">
        <f t="shared" ca="1" si="2"/>
        <v>79</v>
      </c>
      <c r="M11" s="8">
        <f t="shared" ca="1" si="2"/>
        <v>69</v>
      </c>
    </row>
    <row r="12" spans="1:13" ht="14.55" customHeight="1" x14ac:dyDescent="0.3">
      <c r="A12" s="26">
        <v>10</v>
      </c>
      <c r="B12" s="24" t="s">
        <v>22</v>
      </c>
      <c r="C12" s="19"/>
      <c r="D12" s="23" t="s">
        <v>36</v>
      </c>
      <c r="E12" s="22">
        <v>5</v>
      </c>
      <c r="F12" s="21">
        <f t="shared" ca="1" si="1"/>
        <v>3</v>
      </c>
      <c r="G12" s="8">
        <f t="shared" ca="1" si="2"/>
        <v>28</v>
      </c>
      <c r="H12" s="8">
        <f t="shared" ca="1" si="2"/>
        <v>90</v>
      </c>
      <c r="I12" s="8">
        <f t="shared" ca="1" si="2"/>
        <v>95</v>
      </c>
      <c r="J12" s="8">
        <f t="shared" ca="1" si="2"/>
        <v>96</v>
      </c>
      <c r="K12" s="8">
        <f t="shared" ca="1" si="2"/>
        <v>31</v>
      </c>
      <c r="L12" s="8">
        <f t="shared" ca="1" si="2"/>
        <v>34</v>
      </c>
      <c r="M12" s="8">
        <f t="shared" ca="1" si="2"/>
        <v>99</v>
      </c>
    </row>
    <row r="13" spans="1:13" ht="14.55" customHeight="1" x14ac:dyDescent="0.3">
      <c r="A13" s="26">
        <v>11</v>
      </c>
      <c r="B13" s="24" t="s">
        <v>23</v>
      </c>
      <c r="C13" s="19"/>
      <c r="D13" s="23" t="s">
        <v>36</v>
      </c>
      <c r="E13" s="22">
        <v>5</v>
      </c>
      <c r="F13" s="21">
        <f t="shared" ca="1" si="1"/>
        <v>1</v>
      </c>
      <c r="G13" s="8">
        <f t="shared" ca="1" si="2"/>
        <v>86</v>
      </c>
      <c r="H13" s="8">
        <f t="shared" ca="1" si="2"/>
        <v>13</v>
      </c>
      <c r="I13" s="8">
        <f t="shared" ca="1" si="2"/>
        <v>79</v>
      </c>
      <c r="J13" s="8">
        <f t="shared" ca="1" si="2"/>
        <v>48</v>
      </c>
      <c r="K13" s="8">
        <f t="shared" ca="1" si="2"/>
        <v>86</v>
      </c>
      <c r="L13" s="8">
        <f t="shared" ca="1" si="2"/>
        <v>53</v>
      </c>
      <c r="M13" s="8">
        <f t="shared" ca="1" si="2"/>
        <v>36</v>
      </c>
    </row>
    <row r="14" spans="1:13" ht="14.55" customHeight="1" x14ac:dyDescent="0.3">
      <c r="A14" s="26">
        <v>12</v>
      </c>
      <c r="B14" s="24" t="s">
        <v>24</v>
      </c>
      <c r="C14" s="19"/>
      <c r="D14" s="23" t="s">
        <v>36</v>
      </c>
      <c r="E14" s="22">
        <v>5</v>
      </c>
      <c r="F14" s="21">
        <f t="shared" ca="1" si="1"/>
        <v>2</v>
      </c>
      <c r="G14" s="8">
        <f t="shared" ca="1" si="2"/>
        <v>60</v>
      </c>
      <c r="H14" s="8">
        <f t="shared" ca="1" si="2"/>
        <v>45</v>
      </c>
      <c r="I14" s="8">
        <f t="shared" ca="1" si="2"/>
        <v>88</v>
      </c>
      <c r="J14" s="8">
        <f t="shared" ca="1" si="2"/>
        <v>35</v>
      </c>
      <c r="K14" s="8">
        <f t="shared" ca="1" si="2"/>
        <v>99</v>
      </c>
      <c r="L14" s="8">
        <f t="shared" ca="1" si="2"/>
        <v>11</v>
      </c>
      <c r="M14" s="8">
        <f t="shared" ca="1" si="2"/>
        <v>51</v>
      </c>
    </row>
    <row r="15" spans="1:13" ht="14.55" customHeight="1" x14ac:dyDescent="0.3">
      <c r="A15" s="26">
        <v>13</v>
      </c>
      <c r="B15" s="24" t="s">
        <v>25</v>
      </c>
      <c r="C15" s="19"/>
      <c r="D15" s="23" t="s">
        <v>36</v>
      </c>
      <c r="E15" s="22">
        <v>5</v>
      </c>
      <c r="F15" s="21">
        <f t="shared" ca="1" si="1"/>
        <v>5</v>
      </c>
      <c r="G15" s="8">
        <f t="shared" ca="1" si="2"/>
        <v>71</v>
      </c>
      <c r="H15" s="8">
        <f t="shared" ca="1" si="2"/>
        <v>36</v>
      </c>
      <c r="I15" s="8">
        <f t="shared" ca="1" si="2"/>
        <v>45</v>
      </c>
      <c r="J15" s="8">
        <f t="shared" ca="1" si="2"/>
        <v>17</v>
      </c>
      <c r="K15" s="8">
        <f t="shared" ca="1" si="2"/>
        <v>26</v>
      </c>
      <c r="L15" s="8">
        <f t="shared" ca="1" si="2"/>
        <v>55</v>
      </c>
      <c r="M15" s="8">
        <f t="shared" ca="1" si="2"/>
        <v>44</v>
      </c>
    </row>
    <row r="16" spans="1:13" ht="14.55" customHeight="1" x14ac:dyDescent="0.3">
      <c r="A16" s="26">
        <v>14</v>
      </c>
      <c r="B16" s="24" t="s">
        <v>26</v>
      </c>
      <c r="C16" s="19"/>
      <c r="D16" s="23" t="s">
        <v>36</v>
      </c>
      <c r="E16" s="22">
        <v>5</v>
      </c>
      <c r="F16" s="21">
        <f t="shared" ca="1" si="1"/>
        <v>3</v>
      </c>
      <c r="G16" s="8">
        <f t="shared" ca="1" si="2"/>
        <v>26</v>
      </c>
      <c r="H16" s="8">
        <f t="shared" ca="1" si="2"/>
        <v>66</v>
      </c>
      <c r="I16" s="8">
        <f t="shared" ca="1" si="2"/>
        <v>87</v>
      </c>
      <c r="J16" s="8">
        <f t="shared" ca="1" si="2"/>
        <v>72</v>
      </c>
      <c r="K16" s="8">
        <f t="shared" ca="1" si="2"/>
        <v>100</v>
      </c>
      <c r="L16" s="8">
        <f t="shared" ca="1" si="2"/>
        <v>83</v>
      </c>
      <c r="M16" s="8">
        <f t="shared" ca="1" si="2"/>
        <v>81</v>
      </c>
    </row>
    <row r="17" spans="1:13" ht="14.55" customHeight="1" x14ac:dyDescent="0.3">
      <c r="A17" s="27">
        <v>15</v>
      </c>
      <c r="B17" s="24" t="s">
        <v>27</v>
      </c>
      <c r="C17" s="19"/>
      <c r="D17" s="23" t="s">
        <v>36</v>
      </c>
      <c r="E17" s="22">
        <v>5</v>
      </c>
      <c r="F17" s="21">
        <f t="shared" ca="1" si="1"/>
        <v>3</v>
      </c>
      <c r="G17" s="8">
        <f t="shared" ca="1" si="2"/>
        <v>93</v>
      </c>
      <c r="H17" s="8">
        <f t="shared" ca="1" si="2"/>
        <v>48</v>
      </c>
      <c r="I17" s="8">
        <f t="shared" ca="1" si="2"/>
        <v>37</v>
      </c>
      <c r="J17" s="8">
        <f t="shared" ca="1" si="2"/>
        <v>48</v>
      </c>
      <c r="K17" s="8">
        <f t="shared" ca="1" si="2"/>
        <v>92</v>
      </c>
      <c r="L17" s="8">
        <f t="shared" ca="1" si="2"/>
        <v>96</v>
      </c>
      <c r="M17" s="8">
        <f t="shared" ca="1" si="2"/>
        <v>58</v>
      </c>
    </row>
    <row r="18" spans="1:13" ht="14.55" customHeight="1" x14ac:dyDescent="0.3">
      <c r="A18" s="27">
        <v>16</v>
      </c>
      <c r="B18" s="24" t="s">
        <v>28</v>
      </c>
      <c r="C18" s="19"/>
      <c r="D18" s="23" t="s">
        <v>36</v>
      </c>
      <c r="E18" s="22">
        <v>5</v>
      </c>
      <c r="F18" s="21">
        <f t="shared" ca="1" si="1"/>
        <v>1</v>
      </c>
      <c r="G18" s="8">
        <f t="shared" ca="1" si="2"/>
        <v>97</v>
      </c>
      <c r="H18" s="8">
        <f t="shared" ca="1" si="2"/>
        <v>22</v>
      </c>
      <c r="I18" s="8">
        <f t="shared" ca="1" si="2"/>
        <v>47</v>
      </c>
      <c r="J18" s="8">
        <f t="shared" ca="1" si="2"/>
        <v>52</v>
      </c>
      <c r="K18" s="8">
        <f t="shared" ca="1" si="2"/>
        <v>41</v>
      </c>
      <c r="L18" s="8">
        <f t="shared" ca="1" si="2"/>
        <v>54</v>
      </c>
      <c r="M18" s="8">
        <f t="shared" ca="1" si="2"/>
        <v>65</v>
      </c>
    </row>
    <row r="19" spans="1:13" ht="14.55" customHeight="1" x14ac:dyDescent="0.3">
      <c r="A19" s="26">
        <v>17</v>
      </c>
      <c r="B19" s="24" t="s">
        <v>29</v>
      </c>
      <c r="C19" s="19"/>
      <c r="D19" s="23" t="s">
        <v>36</v>
      </c>
      <c r="E19" s="22">
        <v>5</v>
      </c>
      <c r="F19" s="21">
        <f t="shared" ca="1" si="1"/>
        <v>1</v>
      </c>
      <c r="G19" s="8">
        <f t="shared" ca="1" si="2"/>
        <v>76</v>
      </c>
      <c r="H19" s="8">
        <f t="shared" ca="1" si="2"/>
        <v>20</v>
      </c>
      <c r="I19" s="8">
        <f t="shared" ca="1" si="2"/>
        <v>50</v>
      </c>
      <c r="J19" s="8">
        <f t="shared" ca="1" si="2"/>
        <v>28</v>
      </c>
      <c r="K19" s="8">
        <f t="shared" ca="1" si="2"/>
        <v>62</v>
      </c>
      <c r="L19" s="8">
        <f t="shared" ca="1" si="2"/>
        <v>52</v>
      </c>
      <c r="M19" s="8">
        <f t="shared" ca="1" si="2"/>
        <v>80</v>
      </c>
    </row>
    <row r="20" spans="1:13" ht="14.55" customHeight="1" x14ac:dyDescent="0.3">
      <c r="A20" s="26">
        <v>18</v>
      </c>
      <c r="B20" s="24" t="s">
        <v>30</v>
      </c>
      <c r="C20" s="19"/>
      <c r="D20" s="23" t="s">
        <v>36</v>
      </c>
      <c r="E20" s="22">
        <v>5</v>
      </c>
      <c r="F20" s="21">
        <f t="shared" ca="1" si="1"/>
        <v>1</v>
      </c>
      <c r="G20" s="8">
        <f t="shared" ca="1" si="2"/>
        <v>89</v>
      </c>
      <c r="H20" s="8">
        <f t="shared" ca="1" si="2"/>
        <v>18</v>
      </c>
      <c r="I20" s="8">
        <f t="shared" ca="1" si="2"/>
        <v>72</v>
      </c>
      <c r="J20" s="8">
        <f t="shared" ca="1" si="2"/>
        <v>69</v>
      </c>
      <c r="K20" s="8">
        <f t="shared" ca="1" si="2"/>
        <v>66</v>
      </c>
      <c r="L20" s="8">
        <f t="shared" ca="1" si="2"/>
        <v>85</v>
      </c>
      <c r="M20" s="8">
        <f t="shared" ca="1" si="2"/>
        <v>61</v>
      </c>
    </row>
    <row r="21" spans="1:13" ht="14.55" customHeight="1" x14ac:dyDescent="0.3">
      <c r="A21" s="26">
        <v>19</v>
      </c>
      <c r="B21" s="24" t="s">
        <v>31</v>
      </c>
      <c r="C21" s="19"/>
      <c r="D21" s="23" t="s">
        <v>36</v>
      </c>
      <c r="E21" s="22">
        <v>5</v>
      </c>
      <c r="F21" s="21">
        <f t="shared" ca="1" si="1"/>
        <v>5</v>
      </c>
      <c r="G21" s="8">
        <f t="shared" ca="1" si="2"/>
        <v>71</v>
      </c>
      <c r="H21" s="8">
        <f t="shared" ca="1" si="2"/>
        <v>17</v>
      </c>
      <c r="I21" s="8">
        <f t="shared" ca="1" si="2"/>
        <v>73</v>
      </c>
      <c r="J21" s="8">
        <f t="shared" ca="1" si="2"/>
        <v>96</v>
      </c>
      <c r="K21" s="8">
        <f t="shared" ca="1" si="2"/>
        <v>11</v>
      </c>
      <c r="L21" s="8">
        <f t="shared" ca="1" si="2"/>
        <v>50</v>
      </c>
      <c r="M21" s="8">
        <f t="shared" ca="1" si="2"/>
        <v>63</v>
      </c>
    </row>
    <row r="22" spans="1:13" ht="14.55" customHeight="1" x14ac:dyDescent="0.3">
      <c r="A22" s="27">
        <v>20</v>
      </c>
      <c r="B22" s="24" t="s">
        <v>32</v>
      </c>
      <c r="C22" s="19"/>
      <c r="D22" s="23" t="s">
        <v>36</v>
      </c>
      <c r="E22" s="22">
        <v>5</v>
      </c>
      <c r="F22" s="21">
        <f t="shared" ca="1" si="1"/>
        <v>2</v>
      </c>
      <c r="G22" s="8">
        <f t="shared" ca="1" si="2"/>
        <v>86</v>
      </c>
      <c r="H22" s="8">
        <f t="shared" ca="1" si="2"/>
        <v>38</v>
      </c>
      <c r="I22" s="8">
        <f t="shared" ca="1" si="2"/>
        <v>90</v>
      </c>
      <c r="J22" s="8">
        <f t="shared" ca="1" si="2"/>
        <v>49</v>
      </c>
      <c r="K22" s="8">
        <f t="shared" ca="1" si="2"/>
        <v>31</v>
      </c>
      <c r="L22" s="8">
        <f t="shared" ca="1" si="2"/>
        <v>96</v>
      </c>
      <c r="M22" s="8">
        <f t="shared" ca="1" si="2"/>
        <v>40</v>
      </c>
    </row>
    <row r="23" spans="1:13" ht="14.55" customHeight="1" x14ac:dyDescent="0.3">
      <c r="A23" s="26">
        <v>21</v>
      </c>
      <c r="B23" s="24" t="s">
        <v>33</v>
      </c>
      <c r="C23" s="19"/>
      <c r="D23" s="23" t="s">
        <v>36</v>
      </c>
      <c r="E23" s="22">
        <v>5</v>
      </c>
      <c r="F23" s="21">
        <f t="shared" ca="1" si="1"/>
        <v>5</v>
      </c>
      <c r="G23" s="8">
        <f t="shared" ca="1" si="2"/>
        <v>83</v>
      </c>
      <c r="H23" s="8">
        <f t="shared" ca="1" si="2"/>
        <v>73</v>
      </c>
      <c r="I23" s="8">
        <f t="shared" ca="1" si="2"/>
        <v>78</v>
      </c>
      <c r="J23" s="8">
        <f t="shared" ca="1" si="2"/>
        <v>38</v>
      </c>
      <c r="K23" s="8">
        <f t="shared" ca="1" si="2"/>
        <v>58</v>
      </c>
      <c r="L23" s="8">
        <f t="shared" ca="1" si="2"/>
        <v>34</v>
      </c>
      <c r="M23" s="8">
        <f t="shared" ca="1" si="2"/>
        <v>93</v>
      </c>
    </row>
    <row r="24" spans="1:13" ht="14.55" customHeight="1" x14ac:dyDescent="0.3">
      <c r="A24" s="26">
        <v>22</v>
      </c>
      <c r="B24" s="24" t="s">
        <v>34</v>
      </c>
      <c r="C24" s="19"/>
      <c r="D24" s="23" t="s">
        <v>36</v>
      </c>
      <c r="E24" s="22">
        <v>5</v>
      </c>
      <c r="F24" s="21">
        <f t="shared" ca="1" si="1"/>
        <v>4</v>
      </c>
      <c r="G24" s="8">
        <f t="shared" ca="1" si="2"/>
        <v>35</v>
      </c>
      <c r="H24" s="8">
        <f t="shared" ca="1" si="2"/>
        <v>32</v>
      </c>
      <c r="I24" s="8">
        <f t="shared" ca="1" si="2"/>
        <v>86</v>
      </c>
      <c r="J24" s="8">
        <f t="shared" ca="1" si="2"/>
        <v>13</v>
      </c>
      <c r="K24" s="8">
        <f t="shared" ca="1" si="2"/>
        <v>63</v>
      </c>
      <c r="L24" s="8">
        <f t="shared" ca="1" si="2"/>
        <v>44</v>
      </c>
      <c r="M24" s="8">
        <f t="shared" ca="1" si="2"/>
        <v>66</v>
      </c>
    </row>
    <row r="25" spans="1:13" ht="14.55" customHeight="1" x14ac:dyDescent="0.3">
      <c r="A25" s="26">
        <v>23</v>
      </c>
      <c r="B25" s="24" t="s">
        <v>35</v>
      </c>
      <c r="C25" s="19"/>
      <c r="D25" s="23" t="s">
        <v>36</v>
      </c>
      <c r="E25" s="22">
        <v>5</v>
      </c>
      <c r="F25" s="21">
        <f t="shared" ca="1" si="1"/>
        <v>2</v>
      </c>
      <c r="G25" s="8">
        <f t="shared" ca="1" si="2"/>
        <v>34</v>
      </c>
      <c r="H25" s="8">
        <f t="shared" ca="1" si="2"/>
        <v>56</v>
      </c>
      <c r="I25" s="8">
        <f t="shared" ca="1" si="2"/>
        <v>96</v>
      </c>
      <c r="J25" s="8">
        <f t="shared" ca="1" si="2"/>
        <v>56</v>
      </c>
      <c r="K25" s="8">
        <f t="shared" ca="1" si="2"/>
        <v>11</v>
      </c>
      <c r="L25" s="8">
        <f t="shared" ca="1" si="2"/>
        <v>13</v>
      </c>
      <c r="M25" s="8">
        <f t="shared" ca="1" si="2"/>
        <v>35</v>
      </c>
    </row>
  </sheetData>
  <phoneticPr fontId="9" type="noConversion"/>
  <conditionalFormatting sqref="F3:F25">
    <cfRule type="cellIs" dxfId="7" priority="6" operator="between">
      <formula>4</formula>
      <formula>5</formula>
    </cfRule>
    <cfRule type="cellIs" dxfId="6" priority="7" operator="between">
      <formula>2</formula>
      <formula>4</formula>
    </cfRule>
    <cfRule type="cellIs" dxfId="5" priority="8" operator="lessThan">
      <formula>2</formula>
    </cfRule>
  </conditionalFormatting>
  <conditionalFormatting sqref="G3:M25">
    <cfRule type="cellIs" dxfId="4" priority="9" operator="between">
      <formula>80</formula>
      <formula>100</formula>
    </cfRule>
    <cfRule type="cellIs" dxfId="3" priority="10" operator="between">
      <formula>60</formula>
      <formula>80</formula>
    </cfRule>
    <cfRule type="cellIs" dxfId="2" priority="11" operator="between">
      <formula>40</formula>
      <formula>60</formula>
    </cfRule>
    <cfRule type="cellIs" dxfId="1" priority="12" operator="between">
      <formula>20</formula>
      <formula>"4RESULTS!"</formula>
    </cfRule>
    <cfRule type="cellIs" dxfId="0" priority="13" operator="lessThan">
      <formula>20</formula>
    </cfRule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46A73FD995444A9301E68807A669B" ma:contentTypeVersion="11" ma:contentTypeDescription="Create a new document." ma:contentTypeScope="" ma:versionID="343af1cbafeb12b2aef14eb6bffa1152">
  <xsd:schema xmlns:xsd="http://www.w3.org/2001/XMLSchema" xmlns:xs="http://www.w3.org/2001/XMLSchema" xmlns:p="http://schemas.microsoft.com/office/2006/metadata/properties" xmlns:ns2="1eaf6ca2-4095-4540-8246-0b867697413c" xmlns:ns3="4bf73418-3b72-4e5f-a74d-ba930118cfc3" targetNamespace="http://schemas.microsoft.com/office/2006/metadata/properties" ma:root="true" ma:fieldsID="0eb6b34270d7378987722accd508e370" ns2:_="" ns3:_="">
    <xsd:import namespace="1eaf6ca2-4095-4540-8246-0b867697413c"/>
    <xsd:import namespace="4bf73418-3b72-4e5f-a74d-ba930118c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6ca2-4095-4540-8246-0b86769741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7194bfd-02ff-4625-b66a-0628f1af83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73418-3b72-4e5f-a74d-ba930118cf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39cb7d-0119-4c33-8220-dd40ad1d20a2}" ma:internalName="TaxCatchAll" ma:showField="CatchAllData" ma:web="4bf73418-3b72-4e5f-a74d-ba930118c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af6ca2-4095-4540-8246-0b867697413c">
      <Terms xmlns="http://schemas.microsoft.com/office/infopath/2007/PartnerControls"/>
    </lcf76f155ced4ddcb4097134ff3c332f>
    <TaxCatchAll xmlns="4bf73418-3b72-4e5f-a74d-ba930118cfc3" xsi:nil="true"/>
  </documentManagement>
</p:properties>
</file>

<file path=customXml/itemProps1.xml><?xml version="1.0" encoding="utf-8"?>
<ds:datastoreItem xmlns:ds="http://schemas.openxmlformats.org/officeDocument/2006/customXml" ds:itemID="{5998E1EC-4A3A-4940-A3B2-C6FDDAF7B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af6ca2-4095-4540-8246-0b867697413c"/>
    <ds:schemaRef ds:uri="4bf73418-3b72-4e5f-a74d-ba930118cf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3CF378-F172-427B-B52E-739B09402B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BCE1D-6990-4203-9106-587F82D06642}">
  <ds:schemaRefs>
    <ds:schemaRef ds:uri="http://schemas.microsoft.com/office/2006/metadata/properties"/>
    <ds:schemaRef ds:uri="http://www.w3.org/XML/1998/namespace"/>
    <ds:schemaRef ds:uri="4bf73418-3b72-4e5f-a74d-ba930118cfc3"/>
    <ds:schemaRef ds:uri="http://purl.org/dc/elements/1.1/"/>
    <ds:schemaRef ds:uri="http://schemas.microsoft.com/office/2006/documentManagement/types"/>
    <ds:schemaRef ds:uri="http://purl.org/dc/terms/"/>
    <ds:schemaRef ds:uri="1eaf6ca2-4095-4540-8246-0b867697413c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Elmarie Biermann</dc:creator>
  <cp:keywords/>
  <dc:description/>
  <cp:lastModifiedBy>Deysel, E, Mr [26685248@sun.ac.za]</cp:lastModifiedBy>
  <cp:revision/>
  <dcterms:created xsi:type="dcterms:W3CDTF">2025-08-15T07:57:47Z</dcterms:created>
  <dcterms:modified xsi:type="dcterms:W3CDTF">2026-02-28T17:43:14Z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0x010100F8A46A73FD995444A9301E68807A669B</vt:lpwstr>
  </property>
  <property fmtid="{D5CDD505-2E9C-101B-9397-08002B2CF9AE}" pid="3" name="MediaServiceImageTags">
    <vt:lpwstr/>
  </property>
</Properties>
</file>